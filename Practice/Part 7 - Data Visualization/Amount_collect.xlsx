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bb11b1a9b60d4c/Desktop/Amount_collection/"/>
    </mc:Choice>
  </mc:AlternateContent>
  <xr:revisionPtr revIDLastSave="472" documentId="13_ncr:1_{5DB109E7-F8DB-4613-AC92-3E06466533B7}" xr6:coauthVersionLast="47" xr6:coauthVersionMax="47" xr10:uidLastSave="{63B1F9EF-FFEE-4D57-9424-A2A666E6F5AD}"/>
  <bookViews>
    <workbookView xWindow="-108" yWindow="-108" windowWidth="23256" windowHeight="12456" xr2:uid="{60E43903-A88F-4BF7-9ABB-99373A8F8EF3}"/>
  </bookViews>
  <sheets>
    <sheet name="Amount Collection July 2026" sheetId="2" r:id="rId1"/>
    <sheet name="Amount Collection" sheetId="1" r:id="rId2"/>
  </sheets>
  <definedNames>
    <definedName name="_xlnm.Print_Area" localSheetId="1">'Amount Collection'!$A$1:$H$57</definedName>
    <definedName name="_xlnm.Print_Area" localSheetId="0">'Amount Collection July 2026'!$A$1:$H$17</definedName>
    <definedName name="_xlnm.Print_Titles" localSheetId="1">'Amount Collection'!$2:$2</definedName>
    <definedName name="_xlnm.Print_Titles" localSheetId="0">'Amount Collection July 2026'!$2:$2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5" i="2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C55" i="1"/>
  <c r="C56" i="1"/>
  <c r="H3" i="1"/>
  <c r="H4" i="1" s="1"/>
  <c r="C17" i="2" l="1"/>
  <c r="C19" i="2" s="1"/>
  <c r="C57" i="1"/>
  <c r="H5" i="1"/>
  <c r="H6" i="1" s="1"/>
  <c r="H7" i="1" s="1"/>
  <c r="H8" i="1" s="1"/>
  <c r="H9" i="1" s="1"/>
  <c r="H10" i="1" s="1"/>
  <c r="H11" i="1" s="1"/>
  <c r="H12" i="1" s="1"/>
  <c r="H13" i="1" l="1"/>
  <c r="H14" i="1" l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</calcChain>
</file>

<file path=xl/sharedStrings.xml><?xml version="1.0" encoding="utf-8"?>
<sst xmlns="http://schemas.openxmlformats.org/spreadsheetml/2006/main" count="320" uniqueCount="121">
  <si>
    <t>Date</t>
  </si>
  <si>
    <t>From</t>
  </si>
  <si>
    <t>Amount Received</t>
  </si>
  <si>
    <t>Amount Given Back</t>
  </si>
  <si>
    <t>Mode</t>
  </si>
  <si>
    <t>Transaction ID</t>
  </si>
  <si>
    <t>Notes</t>
  </si>
  <si>
    <t>Balance</t>
  </si>
  <si>
    <t>13-05-2026</t>
  </si>
  <si>
    <t>Mr Rishi Soni</t>
  </si>
  <si>
    <t>Google Pay</t>
  </si>
  <si>
    <t>206062915379</t>
  </si>
  <si>
    <t>Test Payment</t>
  </si>
  <si>
    <t>604482116242</t>
  </si>
  <si>
    <t>Received</t>
  </si>
  <si>
    <t>14-05-2026</t>
  </si>
  <si>
    <t>604508627359</t>
  </si>
  <si>
    <t>604543369746</t>
  </si>
  <si>
    <t>Rishi Soni</t>
  </si>
  <si>
    <t>306199771174</t>
  </si>
  <si>
    <t>15-05-2026</t>
  </si>
  <si>
    <t>613535537293</t>
  </si>
  <si>
    <t>16-05-2026</t>
  </si>
  <si>
    <t>306228380406</t>
  </si>
  <si>
    <t>306257541904</t>
  </si>
  <si>
    <t>17-05-2026</t>
  </si>
  <si>
    <t>306304285703</t>
  </si>
  <si>
    <t>18-05-2026</t>
  </si>
  <si>
    <t>306380862719</t>
  </si>
  <si>
    <t>19-05-2026</t>
  </si>
  <si>
    <t>306428078898</t>
  </si>
  <si>
    <t>20-05-2026</t>
  </si>
  <si>
    <t>306498551284</t>
  </si>
  <si>
    <t>21-05-2026</t>
  </si>
  <si>
    <t>606552333553</t>
  </si>
  <si>
    <t>22-05-2026</t>
  </si>
  <si>
    <t>306623474822</t>
  </si>
  <si>
    <t>23-05-2026</t>
  </si>
  <si>
    <t>306684948875</t>
  </si>
  <si>
    <t>24-05-2026</t>
  </si>
  <si>
    <t>606730540049</t>
  </si>
  <si>
    <t>25-05-2026</t>
  </si>
  <si>
    <t>606770204807</t>
  </si>
  <si>
    <t>26-05-2026</t>
  </si>
  <si>
    <t>606852121184</t>
  </si>
  <si>
    <t>27-05-2026</t>
  </si>
  <si>
    <t>306888659430</t>
  </si>
  <si>
    <t>651339570703</t>
  </si>
  <si>
    <t>306924460955</t>
  </si>
  <si>
    <t>Harsh</t>
  </si>
  <si>
    <t>28-05-2026</t>
  </si>
  <si>
    <t>306954929814</t>
  </si>
  <si>
    <t>29-05-2026</t>
  </si>
  <si>
    <t>307017376139</t>
  </si>
  <si>
    <t>607375263893</t>
  </si>
  <si>
    <t>307453772648</t>
  </si>
  <si>
    <t>607496397606</t>
  </si>
  <si>
    <t>652429778852</t>
  </si>
  <si>
    <t>Given to M</t>
  </si>
  <si>
    <t xml:space="preserve">Total Received </t>
  </si>
  <si>
    <t>Total Given Back</t>
  </si>
  <si>
    <t>Current Balance</t>
  </si>
  <si>
    <t>307586572859</t>
  </si>
  <si>
    <t>207976257729</t>
  </si>
  <si>
    <t>307709287324</t>
  </si>
  <si>
    <t>607732094940</t>
  </si>
  <si>
    <t>307829515860</t>
  </si>
  <si>
    <t>307889312246</t>
  </si>
  <si>
    <t>13-06-2026</t>
  </si>
  <si>
    <t>307950300048</t>
  </si>
  <si>
    <t>14-06-2026</t>
  </si>
  <si>
    <t>208431371050</t>
  </si>
  <si>
    <t>15-06-2026</t>
  </si>
  <si>
    <t>208544465428</t>
  </si>
  <si>
    <t>16-06-2026</t>
  </si>
  <si>
    <t>308144813550</t>
  </si>
  <si>
    <t>17-06-2026</t>
  </si>
  <si>
    <t>308202712652</t>
  </si>
  <si>
    <t>18-06-2026</t>
  </si>
  <si>
    <t>616901437498</t>
  </si>
  <si>
    <t>616954959712</t>
  </si>
  <si>
    <t>Given to Nirmal</t>
  </si>
  <si>
    <t>308261812501</t>
  </si>
  <si>
    <t>616971483598</t>
  </si>
  <si>
    <t>Given to Rahul</t>
  </si>
  <si>
    <t>616915293430</t>
  </si>
  <si>
    <t>19-06-2026</t>
  </si>
  <si>
    <t>608278226935</t>
  </si>
  <si>
    <t>20-06-2026</t>
  </si>
  <si>
    <t>208909001856</t>
  </si>
  <si>
    <t>21-06-2026</t>
  </si>
  <si>
    <t>209009241469</t>
  </si>
  <si>
    <t>22-06-2026</t>
  </si>
  <si>
    <t>609022628160</t>
  </si>
  <si>
    <t>617305174067</t>
  </si>
  <si>
    <t>23-06-2026</t>
  </si>
  <si>
    <t>609078141548</t>
  </si>
  <si>
    <t>30-06-2026</t>
  </si>
  <si>
    <t>618132317890</t>
  </si>
  <si>
    <t>Yogesh Kumar</t>
  </si>
  <si>
    <t>967282977861</t>
  </si>
  <si>
    <t>Dinesh Kumar</t>
  </si>
  <si>
    <t>662936801077</t>
  </si>
  <si>
    <t>Given to Dinesh</t>
  </si>
  <si>
    <t>Amount Collection Report - May &amp; June 2026</t>
  </si>
  <si>
    <t>Rajkumar XNA Gautam</t>
  </si>
  <si>
    <t>Amount Collection Report - July 2026</t>
  </si>
  <si>
    <t>935452983524</t>
  </si>
  <si>
    <t>309566825186</t>
  </si>
  <si>
    <t>609606804922</t>
  </si>
  <si>
    <t>Previous Balance</t>
  </si>
  <si>
    <t>Total Blance</t>
  </si>
  <si>
    <t>Harpreet Singh</t>
  </si>
  <si>
    <t>309673169206</t>
  </si>
  <si>
    <t>618454884958</t>
  </si>
  <si>
    <t>309689834473</t>
  </si>
  <si>
    <t>210001901039</t>
  </si>
  <si>
    <t>210070129339</t>
  </si>
  <si>
    <t>210177945626</t>
  </si>
  <si>
    <t>309934300351</t>
  </si>
  <si>
    <t>310012798971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</si>
</sst>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\-yyyy"/>
  </numFmts>
  <fonts count="6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8"/>
      <name val="Aptos Narrow"/>
      <family val="2"/>
    </font>
    <font>
      <b/>
      <sz val="11"/>
      <color theme="0"/>
      <name val="Aptos Narrow"/>
      <family val="2"/>
    </font>
    <font>
      <sz val="11"/>
      <color rgb="FF000000"/>
      <name val="Aptos Narrow"/>
      <family val="2"/>
    </font>
    <font>
      <b/>
      <sz val="18"/>
      <color theme="3" tint="0.249977111117893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499984740745262"/>
        <bgColor rgb="FFA6C9E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1">
    <xf numFmtId="0" fontId="0" fillId="0" borderId="0" xfId="0"/>
    <xf numFmtId="49" fontId="0" fillId="0" borderId="0" xfId="0" applyNumberFormat="1"/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43" fontId="1" fillId="4" borderId="1" xfId="1" applyFont="1" applyFill="1" applyBorder="1" applyAlignment="1">
      <alignment horizontal="center"/>
    </xf>
    <xf numFmtId="43" fontId="1" fillId="4" borderId="2" xfId="1" applyFont="1" applyFill="1" applyBorder="1" applyAlignment="1">
      <alignment horizontal="left"/>
    </xf>
    <xf numFmtId="43" fontId="1" fillId="4" borderId="3" xfId="1" applyFont="1" applyFill="1" applyBorder="1" applyAlignment="1">
      <alignment horizontal="center"/>
    </xf>
    <xf numFmtId="43" fontId="1" fillId="5" borderId="4" xfId="1" applyFont="1" applyFill="1" applyBorder="1" applyAlignment="1">
      <alignment horizontal="left"/>
    </xf>
    <xf numFmtId="43" fontId="1" fillId="5" borderId="5" xfId="1" applyFont="1" applyFill="1" applyBorder="1" applyAlignment="1">
      <alignment horizontal="center"/>
    </xf>
    <xf numFmtId="43" fontId="1" fillId="5" borderId="6" xfId="1" applyFont="1" applyFill="1" applyBorder="1" applyAlignment="1">
      <alignment horizontal="center"/>
    </xf>
    <xf numFmtId="43" fontId="1" fillId="3" borderId="7" xfId="1" applyFont="1" applyFill="1" applyBorder="1" applyAlignment="1">
      <alignment horizontal="left"/>
    </xf>
    <xf numFmtId="43" fontId="1" fillId="3" borderId="8" xfId="1" applyFont="1" applyFill="1" applyBorder="1" applyAlignment="1">
      <alignment horizontal="center"/>
    </xf>
    <xf numFmtId="43" fontId="1" fillId="3" borderId="9" xfId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0" fillId="0" borderId="0" xfId="0" applyNumberFormat="1"/>
    <xf numFmtId="43" fontId="1" fillId="8" borderId="1" xfId="1" applyFont="1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164" fontId="1" fillId="11" borderId="1" xfId="0" applyNumberFormat="1" applyFont="1" applyFill="1" applyBorder="1"/>
    <xf numFmtId="0" fontId="1" fillId="11" borderId="1" xfId="0" applyFont="1" applyFill="1" applyBorder="1"/>
    <xf numFmtId="43" fontId="1" fillId="11" borderId="1" xfId="1" applyFont="1" applyFill="1" applyBorder="1"/>
    <xf numFmtId="164" fontId="0" fillId="10" borderId="10" xfId="0" applyNumberFormat="1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164" fontId="1" fillId="3" borderId="1" xfId="1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center"/>
    </xf>
    <xf numFmtId="164" fontId="1" fillId="8" borderId="1" xfId="1" applyNumberFormat="1" applyFont="1" applyFill="1" applyBorder="1" applyAlignment="1">
      <alignment horizontal="left"/>
    </xf>
    <xf numFmtId="0" fontId="1" fillId="8" borderId="1" xfId="1" applyNumberFormat="1" applyFont="1" applyFill="1" applyBorder="1" applyAlignment="1">
      <alignment horizontal="center"/>
    </xf>
    <xf numFmtId="164" fontId="1" fillId="9" borderId="1" xfId="1" applyNumberFormat="1" applyFont="1" applyFill="1" applyBorder="1" applyAlignment="1">
      <alignment horizontal="left"/>
    </xf>
    <xf numFmtId="43" fontId="1" fillId="9" borderId="1" xfId="1" applyFont="1" applyFill="1" applyBorder="1" applyAlignment="1">
      <alignment horizontal="center"/>
    </xf>
    <xf numFmtId="164" fontId="1" fillId="6" borderId="1" xfId="0" applyNumberFormat="1" applyFont="1" applyFill="1" applyBorder="1"/>
    <xf numFmtId="0" fontId="0" fillId="6" borderId="1" xfId="0" applyFill="1" applyBorder="1"/>
    <xf numFmtId="43" fontId="1" fillId="6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colors>
    <mruColors>
      <color rgb="FFCCCCFF"/>
      <color rgb="FFFF99FF"/>
      <color rgb="FFFF9933"/>
      <color rgb="FFFF3300"/>
      <color rgb="FFCCFF6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7C40-8818-447A-8606-DAD535021423}">
  <sheetPr>
    <pageSetUpPr fitToPage="1"/>
  </sheetPr>
  <dimension ref="A1:H19"/>
  <sheetViews>
    <sheetView tabSelected="1" zoomScale="120" zoomScaleNormal="120" workbookViewId="0">
      <selection activeCell="J5" sqref="J5"/>
    </sheetView>
  </sheetViews>
  <sheetFormatPr defaultRowHeight="14.4" x14ac:dyDescent="0.3"/>
  <cols>
    <col min="1" max="1" width="14.77734375" style="18" bestFit="1" customWidth="1"/>
    <col min="2" max="2" width="19.44140625" bestFit="1" customWidth="1"/>
    <col min="3" max="3" width="15.5546875" bestFit="1" customWidth="1"/>
    <col min="4" max="4" width="17.21875" bestFit="1" customWidth="1"/>
    <col min="5" max="5" width="9.88671875" bestFit="1" customWidth="1"/>
    <col min="6" max="6" width="13.109375" style="1" bestFit="1" customWidth="1"/>
    <col min="7" max="7" width="11.6640625" bestFit="1" customWidth="1"/>
    <col min="8" max="8" width="7.6640625" bestFit="1" customWidth="1"/>
  </cols>
  <sheetData>
    <row r="1" spans="1:8" ht="23.4" x14ac:dyDescent="0.45">
      <c r="A1" s="37" t="s">
        <v>106</v>
      </c>
      <c r="B1" s="38"/>
      <c r="C1" s="38"/>
      <c r="D1" s="38"/>
      <c r="E1" s="38"/>
      <c r="F1" s="38"/>
      <c r="G1" s="38"/>
      <c r="H1" s="38"/>
    </row>
    <row r="2" spans="1:8" x14ac:dyDescent="0.3">
      <c r="A2" s="17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</row>
    <row r="3" spans="1:8" x14ac:dyDescent="0.3">
      <c r="A3" s="20">
        <v>46204</v>
      </c>
      <c r="B3" s="21" t="s">
        <v>18</v>
      </c>
      <c r="C3" s="21">
        <v>4800</v>
      </c>
      <c r="D3" s="21">
        <v>0</v>
      </c>
      <c r="E3" s="21" t="s">
        <v>10</v>
      </c>
      <c r="F3" s="22" t="s">
        <v>108</v>
      </c>
      <c r="G3" s="21" t="s">
        <v>14</v>
      </c>
      <c r="H3" s="21">
        <f>C3-D3</f>
        <v>4800</v>
      </c>
    </row>
    <row r="4" spans="1:8" x14ac:dyDescent="0.3">
      <c r="A4" s="20">
        <v>46204</v>
      </c>
      <c r="B4" s="21" t="s">
        <v>105</v>
      </c>
      <c r="C4" s="21">
        <v>1340</v>
      </c>
      <c r="D4" s="21">
        <v>0</v>
      </c>
      <c r="E4" s="21" t="s">
        <v>10</v>
      </c>
      <c r="F4" s="22" t="s">
        <v>107</v>
      </c>
      <c r="G4" s="21" t="s">
        <v>14</v>
      </c>
      <c r="H4" s="21">
        <f>H3+C4-D4</f>
        <v>6140</v>
      </c>
    </row>
    <row r="5" spans="1:8" x14ac:dyDescent="0.3">
      <c r="A5" s="20">
        <v>46205</v>
      </c>
      <c r="B5" s="21" t="s">
        <v>18</v>
      </c>
      <c r="C5" s="21">
        <v>7000</v>
      </c>
      <c r="D5" s="21">
        <v>0</v>
      </c>
      <c r="E5" s="21" t="s">
        <v>10</v>
      </c>
      <c r="F5" s="22" t="s">
        <v>109</v>
      </c>
      <c r="G5" s="21" t="s">
        <v>14</v>
      </c>
      <c r="H5" s="21">
        <f t="shared" ref="H5:H13" si="0">H4+C5-D5</f>
        <v>13140</v>
      </c>
    </row>
    <row r="6" spans="1:8" x14ac:dyDescent="0.3">
      <c r="A6" s="20">
        <v>46206</v>
      </c>
      <c r="B6" s="21" t="s">
        <v>112</v>
      </c>
      <c r="C6" s="21">
        <v>320</v>
      </c>
      <c r="D6" s="21">
        <v>0</v>
      </c>
      <c r="E6" s="21" t="s">
        <v>10</v>
      </c>
      <c r="F6" s="22" t="s">
        <v>114</v>
      </c>
      <c r="G6" s="21" t="s">
        <v>14</v>
      </c>
      <c r="H6" s="21">
        <f t="shared" si="0"/>
        <v>13460</v>
      </c>
    </row>
    <row r="7" spans="1:8" x14ac:dyDescent="0.3">
      <c r="A7" s="20">
        <v>46206</v>
      </c>
      <c r="B7" s="21" t="s">
        <v>112</v>
      </c>
      <c r="C7" s="21">
        <v>2880</v>
      </c>
      <c r="D7" s="21">
        <v>0</v>
      </c>
      <c r="E7" s="21" t="s">
        <v>10</v>
      </c>
      <c r="F7" s="22" t="s">
        <v>113</v>
      </c>
      <c r="G7" s="21" t="s">
        <v>14</v>
      </c>
      <c r="H7" s="21">
        <f t="shared" si="0"/>
        <v>16340</v>
      </c>
    </row>
    <row r="8" spans="1:8" x14ac:dyDescent="0.3">
      <c r="A8" s="20">
        <v>46206</v>
      </c>
      <c r="B8" s="21" t="s">
        <v>18</v>
      </c>
      <c r="C8" s="21">
        <v>4000</v>
      </c>
      <c r="D8" s="21">
        <v>0</v>
      </c>
      <c r="E8" s="21" t="s">
        <v>10</v>
      </c>
      <c r="F8" s="22" t="s">
        <v>115</v>
      </c>
      <c r="G8" s="21" t="s">
        <v>14</v>
      </c>
      <c r="H8" s="21">
        <f t="shared" si="0"/>
        <v>20340</v>
      </c>
    </row>
    <row r="9" spans="1:8" x14ac:dyDescent="0.3">
      <c r="A9" s="20">
        <v>46207</v>
      </c>
      <c r="B9" s="21" t="s">
        <v>18</v>
      </c>
      <c r="C9" s="21">
        <v>6000</v>
      </c>
      <c r="D9" s="21">
        <v>0</v>
      </c>
      <c r="E9" s="21" t="s">
        <v>10</v>
      </c>
      <c r="F9" s="22" t="s">
        <v>116</v>
      </c>
      <c r="G9" s="21" t="s">
        <v>14</v>
      </c>
      <c r="H9" s="21">
        <f t="shared" si="0"/>
        <v>26340</v>
      </c>
    </row>
    <row r="10" spans="1:8" x14ac:dyDescent="0.3">
      <c r="A10" s="20">
        <v>46208</v>
      </c>
      <c r="B10" s="21" t="s">
        <v>18</v>
      </c>
      <c r="C10" s="21">
        <v>6000</v>
      </c>
      <c r="D10" s="21">
        <v>0</v>
      </c>
      <c r="E10" s="21" t="s">
        <v>10</v>
      </c>
      <c r="F10" s="22" t="s">
        <v>117</v>
      </c>
      <c r="G10" s="21" t="s">
        <v>14</v>
      </c>
      <c r="H10" s="21">
        <f t="shared" si="0"/>
        <v>32340</v>
      </c>
    </row>
    <row r="11" spans="1:8" x14ac:dyDescent="0.3">
      <c r="A11" s="20">
        <v>46210</v>
      </c>
      <c r="B11" s="21" t="s">
        <v>18</v>
      </c>
      <c r="C11" s="21">
        <v>6000</v>
      </c>
      <c r="D11" s="21">
        <v>0</v>
      </c>
      <c r="E11" s="21" t="s">
        <v>10</v>
      </c>
      <c r="F11" s="22" t="s">
        <v>118</v>
      </c>
      <c r="G11" s="21" t="s">
        <v>14</v>
      </c>
      <c r="H11" s="21">
        <f t="shared" si="0"/>
        <v>38340</v>
      </c>
    </row>
    <row r="12" spans="1:8" x14ac:dyDescent="0.3">
      <c r="A12" s="20">
        <v>46210</v>
      </c>
      <c r="B12" s="21" t="s">
        <v>18</v>
      </c>
      <c r="C12" s="21">
        <v>4000</v>
      </c>
      <c r="D12" s="21">
        <v>0</v>
      </c>
      <c r="E12" s="21" t="s">
        <v>10</v>
      </c>
      <c r="F12" s="22" t="s">
        <v>119</v>
      </c>
      <c r="G12" s="21" t="s">
        <v>14</v>
      </c>
      <c r="H12" s="21">
        <f t="shared" si="0"/>
        <v>42340</v>
      </c>
    </row>
    <row r="13" spans="1:8" x14ac:dyDescent="0.3">
      <c r="A13" s="20">
        <v>46211</v>
      </c>
      <c r="B13" s="21" t="s">
        <v>18</v>
      </c>
      <c r="C13" s="21">
        <v>4800</v>
      </c>
      <c r="D13" s="21">
        <v>0</v>
      </c>
      <c r="E13" s="21" t="s">
        <v>10</v>
      </c>
      <c r="F13" s="22" t="s">
        <v>120</v>
      </c>
      <c r="G13" s="21" t="s">
        <v>14</v>
      </c>
      <c r="H13" s="21">
        <f t="shared" si="0"/>
        <v>47140</v>
      </c>
    </row>
    <row r="14" spans="1:8" x14ac:dyDescent="0.3">
      <c r="A14" s="26"/>
      <c r="B14" s="27"/>
      <c r="C14" s="27"/>
      <c r="D14" s="21"/>
      <c r="E14" s="21"/>
      <c r="F14" s="22"/>
      <c r="G14" s="21"/>
      <c r="H14" s="21">
        <f>H13+C14-D14</f>
        <v>47140</v>
      </c>
    </row>
    <row r="15" spans="1:8" x14ac:dyDescent="0.3">
      <c r="A15" s="28" t="s">
        <v>59</v>
      </c>
      <c r="B15" s="29"/>
      <c r="C15" s="29">
        <f>SUM(C3:C14)</f>
        <v>47140</v>
      </c>
    </row>
    <row r="16" spans="1:8" x14ac:dyDescent="0.3">
      <c r="A16" s="30" t="s">
        <v>60</v>
      </c>
      <c r="B16" s="19"/>
      <c r="C16" s="31">
        <f>SUM(D3:D14)</f>
        <v>0</v>
      </c>
    </row>
    <row r="17" spans="1:3" x14ac:dyDescent="0.3">
      <c r="A17" s="32" t="s">
        <v>61</v>
      </c>
      <c r="B17" s="33"/>
      <c r="C17" s="33">
        <f>C15-C16</f>
        <v>47140</v>
      </c>
    </row>
    <row r="18" spans="1:3" x14ac:dyDescent="0.3">
      <c r="A18" s="23" t="s">
        <v>110</v>
      </c>
      <c r="B18" s="24"/>
      <c r="C18" s="25">
        <v>200000</v>
      </c>
    </row>
    <row r="19" spans="1:3" x14ac:dyDescent="0.3">
      <c r="A19" s="34" t="s">
        <v>111</v>
      </c>
      <c r="B19" s="35"/>
      <c r="C19" s="36">
        <f>C17+C18</f>
        <v>247140</v>
      </c>
    </row>
  </sheetData>
  <mergeCells count="1">
    <mergeCell ref="A1:H1"/>
  </mergeCells>
  <printOptions horizontalCentered="1"/>
  <pageMargins left="0.7" right="0.7" top="0.75" bottom="0.75" header="0.3" footer="0.3"/>
  <pageSetup fitToHeight="0" orientation="landscape" r:id="rId1"/>
  <ignoredErrors>
    <ignoredError sqref="F3:F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9E2A-EB41-4187-B962-0A5E70E66A39}">
  <sheetPr>
    <pageSetUpPr fitToPage="1"/>
  </sheetPr>
  <dimension ref="A1:H60"/>
  <sheetViews>
    <sheetView zoomScale="110" zoomScaleNormal="110" workbookViewId="0">
      <pane ySplit="1" topLeftCell="A38" activePane="bottomLeft" state="frozen"/>
      <selection pane="bottomLeft" activeCell="B70" sqref="B70"/>
    </sheetView>
  </sheetViews>
  <sheetFormatPr defaultRowHeight="14.4" x14ac:dyDescent="0.3"/>
  <cols>
    <col min="1" max="1" width="15.44140625" bestFit="1" customWidth="1"/>
    <col min="2" max="2" width="12.44140625" bestFit="1" customWidth="1"/>
    <col min="3" max="3" width="16.5546875" bestFit="1" customWidth="1"/>
    <col min="4" max="4" width="18" bestFit="1" customWidth="1"/>
    <col min="5" max="5" width="10.44140625" bestFit="1" customWidth="1"/>
    <col min="6" max="6" width="13.5546875" style="1" bestFit="1" customWidth="1"/>
    <col min="7" max="7" width="14.6640625" bestFit="1" customWidth="1"/>
    <col min="8" max="8" width="7.77734375" bestFit="1" customWidth="1"/>
  </cols>
  <sheetData>
    <row r="1" spans="1:8" ht="23.4" x14ac:dyDescent="0.45">
      <c r="A1" s="39" t="s">
        <v>104</v>
      </c>
      <c r="B1" s="40"/>
      <c r="C1" s="40"/>
      <c r="D1" s="40"/>
      <c r="E1" s="40"/>
      <c r="F1" s="40"/>
      <c r="G1" s="40"/>
      <c r="H1" s="40"/>
    </row>
    <row r="2" spans="1: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</row>
    <row r="3" spans="1:8" x14ac:dyDescent="0.3">
      <c r="A3" s="4" t="s">
        <v>8</v>
      </c>
      <c r="B3" s="4" t="s">
        <v>18</v>
      </c>
      <c r="C3" s="4">
        <v>1</v>
      </c>
      <c r="D3" s="4">
        <v>0</v>
      </c>
      <c r="E3" s="4" t="s">
        <v>10</v>
      </c>
      <c r="F3" s="5" t="s">
        <v>11</v>
      </c>
      <c r="G3" s="4" t="s">
        <v>12</v>
      </c>
      <c r="H3" s="4">
        <f>C3-D3</f>
        <v>1</v>
      </c>
    </row>
    <row r="4" spans="1:8" x14ac:dyDescent="0.3">
      <c r="A4" s="4" t="s">
        <v>8</v>
      </c>
      <c r="B4" s="4" t="s">
        <v>18</v>
      </c>
      <c r="C4" s="4">
        <v>4500</v>
      </c>
      <c r="D4" s="4">
        <v>0</v>
      </c>
      <c r="E4" s="4" t="s">
        <v>10</v>
      </c>
      <c r="F4" s="5" t="s">
        <v>13</v>
      </c>
      <c r="G4" s="4" t="s">
        <v>14</v>
      </c>
      <c r="H4" s="4">
        <f>H3+C4-D4</f>
        <v>4501</v>
      </c>
    </row>
    <row r="5" spans="1:8" x14ac:dyDescent="0.3">
      <c r="A5" s="4" t="s">
        <v>15</v>
      </c>
      <c r="B5" s="4" t="s">
        <v>18</v>
      </c>
      <c r="C5" s="4">
        <v>1500</v>
      </c>
      <c r="D5" s="4">
        <v>0</v>
      </c>
      <c r="E5" s="4" t="s">
        <v>10</v>
      </c>
      <c r="F5" s="5" t="s">
        <v>16</v>
      </c>
      <c r="G5" s="4" t="s">
        <v>14</v>
      </c>
      <c r="H5" s="4">
        <f t="shared" ref="H5:H48" si="0">H4+C5-D5</f>
        <v>6001</v>
      </c>
    </row>
    <row r="6" spans="1:8" x14ac:dyDescent="0.3">
      <c r="A6" s="4" t="s">
        <v>15</v>
      </c>
      <c r="B6" s="4" t="s">
        <v>18</v>
      </c>
      <c r="C6" s="4">
        <v>3500</v>
      </c>
      <c r="D6" s="4">
        <v>0</v>
      </c>
      <c r="E6" s="4" t="s">
        <v>10</v>
      </c>
      <c r="F6" s="5" t="s">
        <v>17</v>
      </c>
      <c r="G6" s="4" t="s">
        <v>14</v>
      </c>
      <c r="H6" s="4">
        <f t="shared" si="0"/>
        <v>9501</v>
      </c>
    </row>
    <row r="7" spans="1:8" x14ac:dyDescent="0.3">
      <c r="A7" s="4" t="s">
        <v>20</v>
      </c>
      <c r="B7" s="4" t="s">
        <v>18</v>
      </c>
      <c r="C7" s="4">
        <v>1500</v>
      </c>
      <c r="D7" s="4">
        <v>0</v>
      </c>
      <c r="E7" s="4" t="s">
        <v>10</v>
      </c>
      <c r="F7" s="5" t="s">
        <v>19</v>
      </c>
      <c r="G7" s="4" t="s">
        <v>14</v>
      </c>
      <c r="H7" s="4">
        <f t="shared" si="0"/>
        <v>11001</v>
      </c>
    </row>
    <row r="8" spans="1:8" x14ac:dyDescent="0.3">
      <c r="A8" s="4" t="s">
        <v>20</v>
      </c>
      <c r="B8" s="4" t="s">
        <v>9</v>
      </c>
      <c r="C8" s="4">
        <v>1000</v>
      </c>
      <c r="D8" s="4">
        <v>0</v>
      </c>
      <c r="E8" s="4" t="s">
        <v>10</v>
      </c>
      <c r="F8" s="5" t="s">
        <v>21</v>
      </c>
      <c r="G8" s="4" t="s">
        <v>14</v>
      </c>
      <c r="H8" s="4">
        <f t="shared" si="0"/>
        <v>12001</v>
      </c>
    </row>
    <row r="9" spans="1:8" x14ac:dyDescent="0.3">
      <c r="A9" s="4" t="s">
        <v>22</v>
      </c>
      <c r="B9" s="4" t="s">
        <v>18</v>
      </c>
      <c r="C9" s="4">
        <v>2000</v>
      </c>
      <c r="D9" s="4">
        <v>0</v>
      </c>
      <c r="E9" s="4" t="s">
        <v>10</v>
      </c>
      <c r="F9" s="5" t="s">
        <v>23</v>
      </c>
      <c r="G9" s="4" t="s">
        <v>14</v>
      </c>
      <c r="H9" s="4">
        <f t="shared" si="0"/>
        <v>14001</v>
      </c>
    </row>
    <row r="10" spans="1:8" x14ac:dyDescent="0.3">
      <c r="A10" s="4" t="s">
        <v>22</v>
      </c>
      <c r="B10" s="4" t="s">
        <v>18</v>
      </c>
      <c r="C10" s="4">
        <v>2500</v>
      </c>
      <c r="D10" s="4">
        <v>0</v>
      </c>
      <c r="E10" s="4" t="s">
        <v>10</v>
      </c>
      <c r="F10" s="5" t="s">
        <v>24</v>
      </c>
      <c r="G10" s="4" t="s">
        <v>14</v>
      </c>
      <c r="H10" s="4">
        <f t="shared" si="0"/>
        <v>16501</v>
      </c>
    </row>
    <row r="11" spans="1:8" x14ac:dyDescent="0.3">
      <c r="A11" s="4" t="s">
        <v>25</v>
      </c>
      <c r="B11" s="4" t="s">
        <v>18</v>
      </c>
      <c r="C11" s="4">
        <v>6000</v>
      </c>
      <c r="D11" s="4">
        <v>0</v>
      </c>
      <c r="E11" s="4" t="s">
        <v>10</v>
      </c>
      <c r="F11" s="5" t="s">
        <v>26</v>
      </c>
      <c r="G11" s="4" t="s">
        <v>14</v>
      </c>
      <c r="H11" s="4">
        <f t="shared" si="0"/>
        <v>22501</v>
      </c>
    </row>
    <row r="12" spans="1:8" x14ac:dyDescent="0.3">
      <c r="A12" s="4" t="s">
        <v>27</v>
      </c>
      <c r="B12" s="4" t="s">
        <v>18</v>
      </c>
      <c r="C12" s="4">
        <v>8000</v>
      </c>
      <c r="D12" s="4">
        <v>0</v>
      </c>
      <c r="E12" s="4" t="s">
        <v>10</v>
      </c>
      <c r="F12" s="5" t="s">
        <v>28</v>
      </c>
      <c r="G12" s="4" t="s">
        <v>14</v>
      </c>
      <c r="H12" s="4">
        <f t="shared" si="0"/>
        <v>30501</v>
      </c>
    </row>
    <row r="13" spans="1:8" x14ac:dyDescent="0.3">
      <c r="A13" s="4" t="s">
        <v>29</v>
      </c>
      <c r="B13" s="4" t="s">
        <v>18</v>
      </c>
      <c r="C13" s="4">
        <v>10000</v>
      </c>
      <c r="D13" s="4">
        <v>0</v>
      </c>
      <c r="E13" s="4" t="s">
        <v>10</v>
      </c>
      <c r="F13" s="5" t="s">
        <v>30</v>
      </c>
      <c r="G13" s="4" t="s">
        <v>14</v>
      </c>
      <c r="H13" s="4">
        <f>H12+C13-D13</f>
        <v>40501</v>
      </c>
    </row>
    <row r="14" spans="1:8" x14ac:dyDescent="0.3">
      <c r="A14" s="4" t="s">
        <v>31</v>
      </c>
      <c r="B14" s="4" t="s">
        <v>18</v>
      </c>
      <c r="C14" s="4">
        <v>7000</v>
      </c>
      <c r="D14" s="4">
        <v>0</v>
      </c>
      <c r="E14" s="4" t="s">
        <v>10</v>
      </c>
      <c r="F14" s="5" t="s">
        <v>32</v>
      </c>
      <c r="G14" s="4" t="s">
        <v>14</v>
      </c>
      <c r="H14" s="4">
        <f t="shared" si="0"/>
        <v>47501</v>
      </c>
    </row>
    <row r="15" spans="1:8" x14ac:dyDescent="0.3">
      <c r="A15" s="4" t="s">
        <v>33</v>
      </c>
      <c r="B15" s="4" t="s">
        <v>18</v>
      </c>
      <c r="C15" s="4">
        <v>9000</v>
      </c>
      <c r="D15" s="4">
        <v>0</v>
      </c>
      <c r="E15" s="4" t="s">
        <v>10</v>
      </c>
      <c r="F15" s="5" t="s">
        <v>34</v>
      </c>
      <c r="G15" s="4" t="s">
        <v>14</v>
      </c>
      <c r="H15" s="4">
        <f t="shared" si="0"/>
        <v>56501</v>
      </c>
    </row>
    <row r="16" spans="1:8" x14ac:dyDescent="0.3">
      <c r="A16" s="4" t="s">
        <v>35</v>
      </c>
      <c r="B16" s="4" t="s">
        <v>18</v>
      </c>
      <c r="C16" s="4">
        <v>8000</v>
      </c>
      <c r="D16" s="4">
        <v>0</v>
      </c>
      <c r="E16" s="4" t="s">
        <v>10</v>
      </c>
      <c r="F16" s="5" t="s">
        <v>36</v>
      </c>
      <c r="G16" s="4" t="s">
        <v>14</v>
      </c>
      <c r="H16" s="4">
        <f t="shared" si="0"/>
        <v>64501</v>
      </c>
    </row>
    <row r="17" spans="1:8" x14ac:dyDescent="0.3">
      <c r="A17" s="4" t="s">
        <v>37</v>
      </c>
      <c r="B17" s="4" t="s">
        <v>18</v>
      </c>
      <c r="C17" s="4">
        <v>4500</v>
      </c>
      <c r="D17" s="4">
        <v>0</v>
      </c>
      <c r="E17" s="4" t="s">
        <v>10</v>
      </c>
      <c r="F17" s="5" t="s">
        <v>38</v>
      </c>
      <c r="G17" s="4" t="s">
        <v>14</v>
      </c>
      <c r="H17" s="4">
        <f t="shared" si="0"/>
        <v>69001</v>
      </c>
    </row>
    <row r="18" spans="1:8" x14ac:dyDescent="0.3">
      <c r="A18" s="4" t="s">
        <v>39</v>
      </c>
      <c r="B18" s="4" t="s">
        <v>18</v>
      </c>
      <c r="C18" s="4">
        <v>3000</v>
      </c>
      <c r="D18" s="4">
        <v>0</v>
      </c>
      <c r="E18" s="4" t="s">
        <v>10</v>
      </c>
      <c r="F18" s="5" t="s">
        <v>40</v>
      </c>
      <c r="G18" s="4" t="s">
        <v>14</v>
      </c>
      <c r="H18" s="4">
        <f>H17+C18-D18</f>
        <v>72001</v>
      </c>
    </row>
    <row r="19" spans="1:8" x14ac:dyDescent="0.3">
      <c r="A19" s="6" t="s">
        <v>41</v>
      </c>
      <c r="B19" s="4" t="s">
        <v>18</v>
      </c>
      <c r="C19" s="4">
        <v>4500</v>
      </c>
      <c r="D19" s="4">
        <v>0</v>
      </c>
      <c r="E19" s="4" t="s">
        <v>10</v>
      </c>
      <c r="F19" s="5" t="s">
        <v>42</v>
      </c>
      <c r="G19" s="4" t="s">
        <v>14</v>
      </c>
      <c r="H19" s="4">
        <f t="shared" si="0"/>
        <v>76501</v>
      </c>
    </row>
    <row r="20" spans="1:8" x14ac:dyDescent="0.3">
      <c r="A20" s="4" t="s">
        <v>43</v>
      </c>
      <c r="B20" s="4" t="s">
        <v>18</v>
      </c>
      <c r="C20" s="4">
        <v>5000</v>
      </c>
      <c r="D20" s="4">
        <v>0</v>
      </c>
      <c r="E20" s="4" t="s">
        <v>10</v>
      </c>
      <c r="F20" s="5" t="s">
        <v>44</v>
      </c>
      <c r="G20" s="4" t="s">
        <v>14</v>
      </c>
      <c r="H20" s="4">
        <f t="shared" si="0"/>
        <v>81501</v>
      </c>
    </row>
    <row r="21" spans="1:8" x14ac:dyDescent="0.3">
      <c r="A21" s="4" t="s">
        <v>45</v>
      </c>
      <c r="B21" s="4" t="s">
        <v>18</v>
      </c>
      <c r="C21" s="4">
        <v>5000</v>
      </c>
      <c r="D21" s="4">
        <v>0</v>
      </c>
      <c r="E21" s="4" t="s">
        <v>10</v>
      </c>
      <c r="F21" s="5" t="s">
        <v>46</v>
      </c>
      <c r="G21" s="4" t="s">
        <v>14</v>
      </c>
      <c r="H21" s="4">
        <f>H20+C21-D21</f>
        <v>86501</v>
      </c>
    </row>
    <row r="22" spans="1:8" x14ac:dyDescent="0.3">
      <c r="A22" s="4" t="s">
        <v>45</v>
      </c>
      <c r="B22" s="4" t="s">
        <v>49</v>
      </c>
      <c r="C22" s="4">
        <v>0</v>
      </c>
      <c r="D22" s="4">
        <v>20000</v>
      </c>
      <c r="E22" s="4" t="s">
        <v>10</v>
      </c>
      <c r="F22" s="5" t="s">
        <v>47</v>
      </c>
      <c r="G22" s="4" t="s">
        <v>103</v>
      </c>
      <c r="H22" s="4">
        <f t="shared" si="0"/>
        <v>66501</v>
      </c>
    </row>
    <row r="23" spans="1:8" x14ac:dyDescent="0.3">
      <c r="A23" s="4" t="s">
        <v>45</v>
      </c>
      <c r="B23" s="4" t="s">
        <v>18</v>
      </c>
      <c r="C23" s="4">
        <v>4000</v>
      </c>
      <c r="D23" s="4">
        <v>0</v>
      </c>
      <c r="E23" s="4" t="s">
        <v>10</v>
      </c>
      <c r="F23" s="5" t="s">
        <v>48</v>
      </c>
      <c r="G23" s="4" t="s">
        <v>14</v>
      </c>
      <c r="H23" s="4">
        <f t="shared" si="0"/>
        <v>70501</v>
      </c>
    </row>
    <row r="24" spans="1:8" x14ac:dyDescent="0.3">
      <c r="A24" s="4" t="s">
        <v>50</v>
      </c>
      <c r="B24" s="4" t="s">
        <v>18</v>
      </c>
      <c r="C24" s="4">
        <v>9000</v>
      </c>
      <c r="D24" s="4">
        <v>0</v>
      </c>
      <c r="E24" s="4" t="s">
        <v>10</v>
      </c>
      <c r="F24" s="5" t="s">
        <v>51</v>
      </c>
      <c r="G24" s="4" t="s">
        <v>14</v>
      </c>
      <c r="H24" s="4">
        <f t="shared" si="0"/>
        <v>79501</v>
      </c>
    </row>
    <row r="25" spans="1:8" x14ac:dyDescent="0.3">
      <c r="A25" s="4" t="s">
        <v>52</v>
      </c>
      <c r="B25" s="4" t="s">
        <v>18</v>
      </c>
      <c r="C25" s="4">
        <v>12000</v>
      </c>
      <c r="D25" s="4">
        <v>0</v>
      </c>
      <c r="E25" s="4" t="s">
        <v>10</v>
      </c>
      <c r="F25" s="5" t="s">
        <v>53</v>
      </c>
      <c r="G25" s="4" t="s">
        <v>14</v>
      </c>
      <c r="H25" s="4">
        <f t="shared" si="0"/>
        <v>91501</v>
      </c>
    </row>
    <row r="26" spans="1:8" x14ac:dyDescent="0.3">
      <c r="A26" s="7">
        <v>46118</v>
      </c>
      <c r="B26" s="4" t="s">
        <v>18</v>
      </c>
      <c r="C26" s="4">
        <v>4000</v>
      </c>
      <c r="D26" s="4">
        <v>0</v>
      </c>
      <c r="E26" s="4" t="s">
        <v>10</v>
      </c>
      <c r="F26" s="5" t="s">
        <v>54</v>
      </c>
      <c r="G26" s="4" t="s">
        <v>14</v>
      </c>
      <c r="H26" s="4">
        <f t="shared" si="0"/>
        <v>95501</v>
      </c>
    </row>
    <row r="27" spans="1:8" x14ac:dyDescent="0.3">
      <c r="A27" s="7">
        <v>46148</v>
      </c>
      <c r="B27" s="4" t="s">
        <v>18</v>
      </c>
      <c r="C27" s="4">
        <v>6000</v>
      </c>
      <c r="D27" s="4">
        <v>0</v>
      </c>
      <c r="E27" s="4" t="s">
        <v>10</v>
      </c>
      <c r="F27" s="5" t="s">
        <v>55</v>
      </c>
      <c r="G27" s="4" t="s">
        <v>14</v>
      </c>
      <c r="H27" s="4">
        <f t="shared" si="0"/>
        <v>101501</v>
      </c>
    </row>
    <row r="28" spans="1:8" x14ac:dyDescent="0.3">
      <c r="A28" s="7">
        <v>46179</v>
      </c>
      <c r="B28" s="4" t="s">
        <v>18</v>
      </c>
      <c r="C28" s="4">
        <v>6000</v>
      </c>
      <c r="D28" s="4">
        <v>0</v>
      </c>
      <c r="E28" s="4" t="s">
        <v>10</v>
      </c>
      <c r="F28" s="5" t="s">
        <v>56</v>
      </c>
      <c r="G28" s="4" t="s">
        <v>14</v>
      </c>
      <c r="H28" s="4">
        <f t="shared" si="0"/>
        <v>107501</v>
      </c>
    </row>
    <row r="29" spans="1:8" x14ac:dyDescent="0.3">
      <c r="A29" s="7">
        <v>46209</v>
      </c>
      <c r="B29" s="4" t="s">
        <v>49</v>
      </c>
      <c r="C29" s="4">
        <v>0</v>
      </c>
      <c r="D29" s="4">
        <v>8000</v>
      </c>
      <c r="E29" s="4" t="s">
        <v>10</v>
      </c>
      <c r="F29" s="5" t="s">
        <v>57</v>
      </c>
      <c r="G29" s="4" t="s">
        <v>58</v>
      </c>
      <c r="H29" s="4">
        <f t="shared" si="0"/>
        <v>99501</v>
      </c>
    </row>
    <row r="30" spans="1:8" x14ac:dyDescent="0.3">
      <c r="A30" s="7">
        <v>46209</v>
      </c>
      <c r="B30" s="4" t="s">
        <v>18</v>
      </c>
      <c r="C30" s="4">
        <v>6000</v>
      </c>
      <c r="D30" s="4">
        <v>0</v>
      </c>
      <c r="E30" s="4" t="s">
        <v>10</v>
      </c>
      <c r="F30" s="5" t="s">
        <v>62</v>
      </c>
      <c r="G30" s="4" t="s">
        <v>14</v>
      </c>
      <c r="H30" s="4">
        <f t="shared" si="0"/>
        <v>105501</v>
      </c>
    </row>
    <row r="31" spans="1:8" x14ac:dyDescent="0.3">
      <c r="A31" s="7">
        <v>46240</v>
      </c>
      <c r="B31" s="4" t="s">
        <v>18</v>
      </c>
      <c r="C31" s="4">
        <v>6000</v>
      </c>
      <c r="D31" s="4">
        <v>0</v>
      </c>
      <c r="E31" s="4" t="s">
        <v>10</v>
      </c>
      <c r="F31" s="5" t="s">
        <v>63</v>
      </c>
      <c r="G31" s="4" t="s">
        <v>14</v>
      </c>
      <c r="H31" s="4">
        <f t="shared" si="0"/>
        <v>111501</v>
      </c>
    </row>
    <row r="32" spans="1:8" x14ac:dyDescent="0.3">
      <c r="A32" s="7">
        <v>46271</v>
      </c>
      <c r="B32" s="4" t="s">
        <v>18</v>
      </c>
      <c r="C32" s="4">
        <v>6000</v>
      </c>
      <c r="D32" s="4">
        <v>0</v>
      </c>
      <c r="E32" s="4" t="s">
        <v>10</v>
      </c>
      <c r="F32" s="5" t="s">
        <v>64</v>
      </c>
      <c r="G32" s="4" t="s">
        <v>14</v>
      </c>
      <c r="H32" s="4">
        <f t="shared" si="0"/>
        <v>117501</v>
      </c>
    </row>
    <row r="33" spans="1:8" x14ac:dyDescent="0.3">
      <c r="A33" s="7">
        <v>46301</v>
      </c>
      <c r="B33" s="4" t="s">
        <v>18</v>
      </c>
      <c r="C33" s="4">
        <v>10000</v>
      </c>
      <c r="D33" s="4">
        <v>0</v>
      </c>
      <c r="E33" s="4" t="s">
        <v>10</v>
      </c>
      <c r="F33" s="5" t="s">
        <v>65</v>
      </c>
      <c r="G33" s="4" t="s">
        <v>14</v>
      </c>
      <c r="H33" s="4">
        <f t="shared" si="0"/>
        <v>127501</v>
      </c>
    </row>
    <row r="34" spans="1:8" x14ac:dyDescent="0.3">
      <c r="A34" s="7">
        <v>46332</v>
      </c>
      <c r="B34" s="4" t="s">
        <v>18</v>
      </c>
      <c r="C34" s="4">
        <v>10000</v>
      </c>
      <c r="D34" s="4">
        <v>0</v>
      </c>
      <c r="E34" s="4" t="s">
        <v>10</v>
      </c>
      <c r="F34" s="5" t="s">
        <v>66</v>
      </c>
      <c r="G34" s="4" t="s">
        <v>14</v>
      </c>
      <c r="H34" s="4">
        <f t="shared" si="0"/>
        <v>137501</v>
      </c>
    </row>
    <row r="35" spans="1:8" x14ac:dyDescent="0.3">
      <c r="A35" s="7">
        <v>46362</v>
      </c>
      <c r="B35" s="4" t="s">
        <v>18</v>
      </c>
      <c r="C35" s="4">
        <v>5000</v>
      </c>
      <c r="D35" s="4">
        <v>0</v>
      </c>
      <c r="E35" s="4" t="s">
        <v>10</v>
      </c>
      <c r="F35" s="5" t="s">
        <v>67</v>
      </c>
      <c r="G35" s="4" t="s">
        <v>14</v>
      </c>
      <c r="H35" s="4">
        <f t="shared" si="0"/>
        <v>142501</v>
      </c>
    </row>
    <row r="36" spans="1:8" x14ac:dyDescent="0.3">
      <c r="A36" s="4" t="s">
        <v>68</v>
      </c>
      <c r="B36" s="4" t="s">
        <v>18</v>
      </c>
      <c r="C36" s="4">
        <v>6000</v>
      </c>
      <c r="D36" s="4">
        <v>0</v>
      </c>
      <c r="E36" s="4" t="s">
        <v>10</v>
      </c>
      <c r="F36" s="5" t="s">
        <v>69</v>
      </c>
      <c r="G36" s="4" t="s">
        <v>14</v>
      </c>
      <c r="H36" s="4">
        <f t="shared" si="0"/>
        <v>148501</v>
      </c>
    </row>
    <row r="37" spans="1:8" x14ac:dyDescent="0.3">
      <c r="A37" s="4" t="s">
        <v>70</v>
      </c>
      <c r="B37" s="4" t="s">
        <v>18</v>
      </c>
      <c r="C37" s="4">
        <v>7500</v>
      </c>
      <c r="D37" s="4">
        <v>0</v>
      </c>
      <c r="E37" s="4" t="s">
        <v>10</v>
      </c>
      <c r="F37" s="5" t="s">
        <v>71</v>
      </c>
      <c r="G37" s="4" t="s">
        <v>14</v>
      </c>
      <c r="H37" s="4">
        <f t="shared" si="0"/>
        <v>156001</v>
      </c>
    </row>
    <row r="38" spans="1:8" x14ac:dyDescent="0.3">
      <c r="A38" s="4" t="s">
        <v>72</v>
      </c>
      <c r="B38" s="4" t="s">
        <v>18</v>
      </c>
      <c r="C38" s="4">
        <v>6000</v>
      </c>
      <c r="D38" s="4">
        <v>0</v>
      </c>
      <c r="E38" s="4" t="s">
        <v>10</v>
      </c>
      <c r="F38" s="5" t="s">
        <v>73</v>
      </c>
      <c r="G38" s="4" t="s">
        <v>14</v>
      </c>
      <c r="H38" s="4">
        <f t="shared" si="0"/>
        <v>162001</v>
      </c>
    </row>
    <row r="39" spans="1:8" x14ac:dyDescent="0.3">
      <c r="A39" s="4" t="s">
        <v>74</v>
      </c>
      <c r="B39" s="4" t="s">
        <v>18</v>
      </c>
      <c r="C39" s="4">
        <v>6500</v>
      </c>
      <c r="D39" s="4">
        <v>0</v>
      </c>
      <c r="E39" s="4" t="s">
        <v>10</v>
      </c>
      <c r="F39" s="5" t="s">
        <v>75</v>
      </c>
      <c r="G39" s="4" t="s">
        <v>14</v>
      </c>
      <c r="H39" s="4">
        <f t="shared" si="0"/>
        <v>168501</v>
      </c>
    </row>
    <row r="40" spans="1:8" x14ac:dyDescent="0.3">
      <c r="A40" s="4" t="s">
        <v>76</v>
      </c>
      <c r="B40" s="4" t="s">
        <v>18</v>
      </c>
      <c r="C40" s="4">
        <v>3000</v>
      </c>
      <c r="D40" s="4">
        <v>0</v>
      </c>
      <c r="E40" s="4" t="s">
        <v>10</v>
      </c>
      <c r="F40" s="5" t="s">
        <v>77</v>
      </c>
      <c r="G40" s="4" t="s">
        <v>14</v>
      </c>
      <c r="H40" s="4">
        <f t="shared" si="0"/>
        <v>171501</v>
      </c>
    </row>
    <row r="41" spans="1:8" x14ac:dyDescent="0.3">
      <c r="A41" s="4" t="s">
        <v>78</v>
      </c>
      <c r="B41" s="4" t="s">
        <v>49</v>
      </c>
      <c r="C41" s="4">
        <v>0</v>
      </c>
      <c r="D41" s="4">
        <v>400</v>
      </c>
      <c r="E41" s="4" t="s">
        <v>10</v>
      </c>
      <c r="F41" s="5" t="s">
        <v>79</v>
      </c>
      <c r="G41" s="4" t="s">
        <v>81</v>
      </c>
      <c r="H41" s="4">
        <f t="shared" si="0"/>
        <v>171101</v>
      </c>
    </row>
    <row r="42" spans="1:8" x14ac:dyDescent="0.3">
      <c r="A42" s="4" t="s">
        <v>78</v>
      </c>
      <c r="B42" s="4" t="s">
        <v>18</v>
      </c>
      <c r="C42" s="4">
        <v>6000</v>
      </c>
      <c r="D42" s="4">
        <v>0</v>
      </c>
      <c r="E42" s="4" t="s">
        <v>10</v>
      </c>
      <c r="F42" s="5" t="s">
        <v>82</v>
      </c>
      <c r="G42" s="4" t="s">
        <v>14</v>
      </c>
      <c r="H42" s="4">
        <f t="shared" si="0"/>
        <v>177101</v>
      </c>
    </row>
    <row r="43" spans="1:8" x14ac:dyDescent="0.3">
      <c r="A43" s="4" t="s">
        <v>78</v>
      </c>
      <c r="B43" s="4" t="s">
        <v>18</v>
      </c>
      <c r="C43" s="4">
        <v>900</v>
      </c>
      <c r="D43" s="4">
        <v>0</v>
      </c>
      <c r="E43" s="4" t="s">
        <v>10</v>
      </c>
      <c r="F43" s="5" t="s">
        <v>80</v>
      </c>
      <c r="G43" s="4" t="s">
        <v>14</v>
      </c>
      <c r="H43" s="4">
        <f t="shared" si="0"/>
        <v>178001</v>
      </c>
    </row>
    <row r="44" spans="1:8" x14ac:dyDescent="0.3">
      <c r="A44" s="4" t="s">
        <v>78</v>
      </c>
      <c r="B44" s="4" t="s">
        <v>49</v>
      </c>
      <c r="C44" s="4">
        <v>0</v>
      </c>
      <c r="D44" s="4">
        <v>1</v>
      </c>
      <c r="E44" s="4" t="s">
        <v>10</v>
      </c>
      <c r="F44" s="5" t="s">
        <v>83</v>
      </c>
      <c r="G44" s="4" t="s">
        <v>12</v>
      </c>
      <c r="H44" s="4">
        <f t="shared" si="0"/>
        <v>178000</v>
      </c>
    </row>
    <row r="45" spans="1:8" x14ac:dyDescent="0.3">
      <c r="A45" s="4" t="s">
        <v>78</v>
      </c>
      <c r="B45" s="4" t="s">
        <v>49</v>
      </c>
      <c r="C45" s="4">
        <v>0</v>
      </c>
      <c r="D45" s="4">
        <v>30000</v>
      </c>
      <c r="E45" s="4" t="s">
        <v>10</v>
      </c>
      <c r="F45" s="5" t="s">
        <v>85</v>
      </c>
      <c r="G45" s="4" t="s">
        <v>84</v>
      </c>
      <c r="H45" s="4">
        <f t="shared" si="0"/>
        <v>148000</v>
      </c>
    </row>
    <row r="46" spans="1:8" x14ac:dyDescent="0.3">
      <c r="A46" s="4" t="s">
        <v>86</v>
      </c>
      <c r="B46" s="4" t="s">
        <v>18</v>
      </c>
      <c r="C46" s="4">
        <v>5500</v>
      </c>
      <c r="D46" s="4">
        <v>0</v>
      </c>
      <c r="E46" s="4" t="s">
        <v>10</v>
      </c>
      <c r="F46" s="5" t="s">
        <v>87</v>
      </c>
      <c r="G46" s="4" t="s">
        <v>14</v>
      </c>
      <c r="H46" s="4">
        <f t="shared" si="0"/>
        <v>153500</v>
      </c>
    </row>
    <row r="47" spans="1:8" x14ac:dyDescent="0.3">
      <c r="A47" s="4" t="s">
        <v>88</v>
      </c>
      <c r="B47" s="4" t="s">
        <v>18</v>
      </c>
      <c r="C47" s="4">
        <v>9000</v>
      </c>
      <c r="D47" s="4">
        <v>0</v>
      </c>
      <c r="E47" s="4" t="s">
        <v>10</v>
      </c>
      <c r="F47" s="5" t="s">
        <v>89</v>
      </c>
      <c r="G47" s="4" t="s">
        <v>14</v>
      </c>
      <c r="H47" s="4">
        <f t="shared" si="0"/>
        <v>162500</v>
      </c>
    </row>
    <row r="48" spans="1:8" x14ac:dyDescent="0.3">
      <c r="A48" s="4" t="s">
        <v>90</v>
      </c>
      <c r="B48" s="4" t="s">
        <v>18</v>
      </c>
      <c r="C48" s="4">
        <v>6000</v>
      </c>
      <c r="D48" s="4">
        <v>0</v>
      </c>
      <c r="E48" s="4" t="s">
        <v>10</v>
      </c>
      <c r="F48" s="5" t="s">
        <v>91</v>
      </c>
      <c r="G48" s="4" t="s">
        <v>14</v>
      </c>
      <c r="H48" s="4">
        <f t="shared" si="0"/>
        <v>168500</v>
      </c>
    </row>
    <row r="49" spans="1:8" x14ac:dyDescent="0.3">
      <c r="A49" s="4" t="s">
        <v>92</v>
      </c>
      <c r="B49" s="4" t="s">
        <v>18</v>
      </c>
      <c r="C49" s="4">
        <v>6400</v>
      </c>
      <c r="D49" s="4">
        <v>0</v>
      </c>
      <c r="E49" s="4" t="s">
        <v>10</v>
      </c>
      <c r="F49" s="5" t="s">
        <v>93</v>
      </c>
      <c r="G49" s="4" t="s">
        <v>14</v>
      </c>
      <c r="H49" s="4">
        <f>H48+C49-D49</f>
        <v>174900</v>
      </c>
    </row>
    <row r="50" spans="1:8" x14ac:dyDescent="0.3">
      <c r="A50" s="4" t="s">
        <v>92</v>
      </c>
      <c r="B50" s="4" t="s">
        <v>49</v>
      </c>
      <c r="C50" s="4">
        <v>0</v>
      </c>
      <c r="D50" s="4">
        <v>10000</v>
      </c>
      <c r="E50" s="4" t="s">
        <v>10</v>
      </c>
      <c r="F50" s="5" t="s">
        <v>94</v>
      </c>
      <c r="G50" s="4" t="s">
        <v>58</v>
      </c>
      <c r="H50" s="4">
        <f>H49+C50-D50</f>
        <v>164900</v>
      </c>
    </row>
    <row r="51" spans="1:8" x14ac:dyDescent="0.3">
      <c r="A51" s="4" t="s">
        <v>95</v>
      </c>
      <c r="B51" s="4" t="s">
        <v>18</v>
      </c>
      <c r="C51" s="4">
        <v>8000</v>
      </c>
      <c r="D51" s="4">
        <v>0</v>
      </c>
      <c r="E51" s="4" t="s">
        <v>10</v>
      </c>
      <c r="F51" s="5" t="s">
        <v>96</v>
      </c>
      <c r="G51" s="4" t="s">
        <v>14</v>
      </c>
      <c r="H51" s="4">
        <f t="shared" ref="H51:H54" si="1">H50+C51-D51</f>
        <v>172900</v>
      </c>
    </row>
    <row r="52" spans="1:8" x14ac:dyDescent="0.3">
      <c r="A52" s="4" t="s">
        <v>97</v>
      </c>
      <c r="B52" s="4" t="s">
        <v>18</v>
      </c>
      <c r="C52" s="4">
        <v>4000</v>
      </c>
      <c r="D52" s="4">
        <v>0</v>
      </c>
      <c r="E52" s="4" t="s">
        <v>10</v>
      </c>
      <c r="F52" s="5" t="s">
        <v>98</v>
      </c>
      <c r="G52" s="4" t="s">
        <v>14</v>
      </c>
      <c r="H52" s="4">
        <f t="shared" si="1"/>
        <v>176900</v>
      </c>
    </row>
    <row r="53" spans="1:8" x14ac:dyDescent="0.3">
      <c r="A53" s="4" t="s">
        <v>97</v>
      </c>
      <c r="B53" s="4" t="s">
        <v>99</v>
      </c>
      <c r="C53" s="4">
        <v>3100</v>
      </c>
      <c r="D53" s="4">
        <v>0</v>
      </c>
      <c r="E53" s="4" t="s">
        <v>10</v>
      </c>
      <c r="F53" s="5" t="s">
        <v>100</v>
      </c>
      <c r="G53" s="4" t="s">
        <v>14</v>
      </c>
      <c r="H53" s="4">
        <f t="shared" si="1"/>
        <v>180000</v>
      </c>
    </row>
    <row r="54" spans="1:8" x14ac:dyDescent="0.3">
      <c r="A54" s="4" t="s">
        <v>97</v>
      </c>
      <c r="B54" s="4" t="s">
        <v>101</v>
      </c>
      <c r="C54" s="4">
        <v>20000</v>
      </c>
      <c r="D54" s="4">
        <v>0</v>
      </c>
      <c r="E54" s="4" t="s">
        <v>10</v>
      </c>
      <c r="F54" s="5" t="s">
        <v>102</v>
      </c>
      <c r="G54" s="4" t="s">
        <v>14</v>
      </c>
      <c r="H54" s="4">
        <f t="shared" si="1"/>
        <v>200000</v>
      </c>
    </row>
    <row r="55" spans="1:8" x14ac:dyDescent="0.3">
      <c r="A55" s="14" t="s">
        <v>59</v>
      </c>
      <c r="B55" s="15"/>
      <c r="C55" s="16">
        <f>SUM(C3:C54)</f>
        <v>268401</v>
      </c>
      <c r="F55"/>
    </row>
    <row r="56" spans="1:8" x14ac:dyDescent="0.3">
      <c r="A56" s="9" t="s">
        <v>60</v>
      </c>
      <c r="B56" s="8"/>
      <c r="C56" s="10">
        <f>SUM(D3:D53)</f>
        <v>68401</v>
      </c>
      <c r="F56"/>
    </row>
    <row r="57" spans="1:8" ht="15" thickBot="1" x14ac:dyDescent="0.35">
      <c r="A57" s="11" t="s">
        <v>61</v>
      </c>
      <c r="B57" s="12"/>
      <c r="C57" s="13">
        <f>C55-C56</f>
        <v>200000</v>
      </c>
      <c r="F57"/>
    </row>
    <row r="58" spans="1:8" x14ac:dyDescent="0.3">
      <c r="F58"/>
    </row>
    <row r="59" spans="1:8" x14ac:dyDescent="0.3">
      <c r="F59"/>
    </row>
    <row r="60" spans="1:8" x14ac:dyDescent="0.3">
      <c r="F60"/>
    </row>
  </sheetData>
  <mergeCells count="1">
    <mergeCell ref="A1:H1"/>
  </mergeCells>
  <phoneticPr fontId="2" type="noConversion"/>
  <printOptions horizontalCentered="1"/>
  <pageMargins left="0.25" right="0.25" top="0.75" bottom="0.75" header="0.3" footer="0.3"/>
  <pageSetup fitToHeight="0" orientation="landscape" r:id="rId1"/>
  <ignoredErrors>
    <ignoredError sqref="F3:F54" numberStoredAsText="1"/>
    <ignoredError sqref="C5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Amount Collection July 2026</vt:lpstr>
      <vt:lpstr>Amount Collection</vt:lpstr>
      <vt:lpstr>'Amount Collection'!Print_Area</vt:lpstr>
      <vt:lpstr>'Amount Collection July 2026'!Print_Area</vt:lpstr>
      <vt:lpstr>'Amount Collection'!Print_Titles</vt:lpstr>
      <vt:lpstr>'Amount Collection July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Thakur</dc:creator>
  <cp:lastModifiedBy>Harsh Vardhan</cp:lastModifiedBy>
  <cp:lastPrinted>2026-07-01T16:25:39Z</cp:lastPrinted>
  <dcterms:created xsi:type="dcterms:W3CDTF">2026-05-13T13:20:27Z</dcterms:created>
  <dcterms:modified xsi:type="dcterms:W3CDTF">2026-07-08T15:18:42Z</dcterms:modified>
</cp:coreProperties>
</file>